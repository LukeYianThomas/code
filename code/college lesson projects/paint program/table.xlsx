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tuff\"/>
    </mc:Choice>
  </mc:AlternateContent>
  <xr:revisionPtr revIDLastSave="0" documentId="13_ncr:1_{4FC81E0B-C74C-43F3-B67B-1A19FE800AB2}" xr6:coauthVersionLast="36" xr6:coauthVersionMax="36" xr10:uidLastSave="{00000000-0000-0000-0000-000000000000}"/>
  <bookViews>
    <workbookView xWindow="0" yWindow="0" windowWidth="21570" windowHeight="7890" xr2:uid="{EF526B9C-6EE7-49DA-9E19-0E4BBDE3A6C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I11" i="1"/>
  <c r="J12" i="1"/>
  <c r="I12" i="1"/>
  <c r="J10" i="1"/>
  <c r="I10" i="1"/>
  <c r="J9" i="1"/>
  <c r="I9" i="1"/>
  <c r="J8" i="1"/>
  <c r="I8" i="1"/>
  <c r="J7" i="1"/>
  <c r="I7" i="1"/>
  <c r="L2" i="1"/>
  <c r="L10" i="1" s="1"/>
  <c r="J6" i="1"/>
  <c r="I6" i="1"/>
  <c r="L7" i="1" l="1"/>
  <c r="L12" i="1"/>
  <c r="L11" i="1"/>
  <c r="L8" i="1"/>
  <c r="L9" i="1"/>
  <c r="L6" i="1"/>
  <c r="K15" i="1" s="1"/>
  <c r="K27" i="1" s="1"/>
  <c r="K29" i="1" l="1"/>
  <c r="K17" i="1"/>
  <c r="K19" i="1"/>
  <c r="K21" i="1" l="1"/>
  <c r="K23" i="1" l="1"/>
  <c r="K25" i="1" s="1"/>
</calcChain>
</file>

<file path=xl/sharedStrings.xml><?xml version="1.0" encoding="utf-8"?>
<sst xmlns="http://schemas.openxmlformats.org/spreadsheetml/2006/main" count="41" uniqueCount="36">
  <si>
    <t>walls(1 to 20)</t>
  </si>
  <si>
    <t>one litre cost</t>
  </si>
  <si>
    <t>door area</t>
  </si>
  <si>
    <t>labour cost</t>
  </si>
  <si>
    <t xml:space="preserve">wall </t>
  </si>
  <si>
    <t>wall width</t>
  </si>
  <si>
    <t>wall height</t>
  </si>
  <si>
    <t>door</t>
  </si>
  <si>
    <t>window height</t>
  </si>
  <si>
    <t>window width</t>
  </si>
  <si>
    <t>wall area</t>
  </si>
  <si>
    <t>window area</t>
  </si>
  <si>
    <t>paintable area</t>
  </si>
  <si>
    <t>Total area of paint</t>
  </si>
  <si>
    <t>Total litres of paint required</t>
  </si>
  <si>
    <t>Number of 5 litres required</t>
  </si>
  <si>
    <t>Number of 3 litres required</t>
  </si>
  <si>
    <t>Number of 2 litres required</t>
  </si>
  <si>
    <t>Number of 1 litres required</t>
  </si>
  <si>
    <t>Cost of paint</t>
  </si>
  <si>
    <t>Cost of labour</t>
  </si>
  <si>
    <t>yes</t>
  </si>
  <si>
    <t>no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</si>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</sst>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3">
    <xf numFmtId="0" fontId="0" fillId="0" borderId="0" xfId="0"/>
    <xf numFmtId="0" fontId="3" fillId="3" borderId="2" xfId="3"/>
    <xf numFmtId="0" fontId="3" fillId="3" borderId="2" xfId="3" applyAlignment="1">
      <alignment horizontal="center"/>
    </xf>
    <xf numFmtId="0" fontId="2" fillId="2" borderId="1" xfId="2" applyAlignment="1">
      <alignment horizontal="center"/>
    </xf>
    <xf numFmtId="0" fontId="2" fillId="2" borderId="1" xfId="2"/>
    <xf numFmtId="0" fontId="1" fillId="6" borderId="0" xfId="6"/>
    <xf numFmtId="0" fontId="1" fillId="6" borderId="0" xfId="6" applyAlignment="1">
      <alignment horizontal="center"/>
    </xf>
    <xf numFmtId="0" fontId="1" fillId="4" borderId="0" xfId="4"/>
    <xf numFmtId="44" fontId="0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5" borderId="0" xfId="5" applyFont="1" applyAlignment="1">
      <alignment horizontal="center"/>
    </xf>
    <xf numFmtId="0" fontId="1" fillId="4" borderId="0" xfId="4" applyAlignment="1">
      <alignment horizontal="center"/>
    </xf>
  </cellXfs>
  <cellStyles count="7">
    <cellStyle name="20% - Accent1" xfId="4" builtinId="30"/>
    <cellStyle name="20% - Accent3" xfId="6" builtinId="38"/>
    <cellStyle name="60% - Accent2" xfId="5" builtinId="36"/>
    <cellStyle name="Check Cell" xfId="3" builtinId="23"/>
    <cellStyle name="Currency" xfId="1" builtinId="4"/>
    <cellStyle name="Input" xfId="2" builtinId="20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ECCAA-5092-4DDE-980D-7A87062D11EA}" name="Table1" displayName="Table1" ref="A4:M12" totalsRowShown="0" headerRowDxfId="9" dataDxfId="8" headerRowCellStyle="Input" dataCellStyle="20% - Accent3">
  <autoFilter ref="A4:M12" xr:uid="{8822BC12-A7B4-4455-9B15-30BC8219F700}"/>
  <tableColumns count="13">
    <tableColumn id="1" xr3:uid="{2666C912-5F59-4AF2-A6B4-B3A44A5E5345}" name="Column1" dataCellStyle="20% - Accent3"/>
    <tableColumn id="2" xr3:uid="{2FEEEC1B-348C-40BC-8492-30D9F24FEE0D}" name="Column2" dataCellStyle="20% - Accent3"/>
    <tableColumn id="3" xr3:uid="{19A939B7-4F24-4C7C-9C14-E6EB4B1C4B4A}" name="Column3" dataCellStyle="20% - Accent3"/>
    <tableColumn id="4" xr3:uid="{355EC0F9-DBA6-4F85-9A07-D334C271FC87}" name="Column4" dataCellStyle="20% - Accent3"/>
    <tableColumn id="5" xr3:uid="{1FED8D89-70BC-47E8-9551-0AC4E59A6C25}" name="Column5" dataDxfId="7" dataCellStyle="20% - Accent3"/>
    <tableColumn id="6" xr3:uid="{9C771C73-D3D0-41AF-92C7-CBA48E751BA0}" name="Column6" dataDxfId="6" dataCellStyle="20% - Accent3"/>
    <tableColumn id="7" xr3:uid="{8C42D287-5AE4-4B23-AF5F-ED5A241D4E0C}" name="Column7" dataDxfId="5" dataCellStyle="20% - Accent3"/>
    <tableColumn id="8" xr3:uid="{273EDB95-8B96-4B37-A9D6-D65FC5716C12}" name="Column8" dataDxfId="4" dataCellStyle="20% - Accent3"/>
    <tableColumn id="9" xr3:uid="{2B382908-4E3E-44E6-B796-D59C78D68F29}" name="Column9" dataCellStyle="20% - Accent3">
      <calculatedColumnFormula>B5*C5</calculatedColumnFormula>
    </tableColumn>
    <tableColumn id="10" xr3:uid="{62361EC1-8038-449F-BF25-0B600CBE2B11}" name="Column10" dataDxfId="3" dataCellStyle="20% - Accent3">
      <calculatedColumnFormula>E5*G5</calculatedColumnFormula>
    </tableColumn>
    <tableColumn id="11" xr3:uid="{EBB42DA7-7576-41E8-A33D-944CE69B3560}" name="Column11" dataDxfId="2" dataCellStyle="20% - Accent3"/>
    <tableColumn id="12" xr3:uid="{2DF4DBC7-8CB4-468D-BB06-81D08A0549CA}" name="Column12" dataDxfId="1" dataCellStyle="20% - Accent3"/>
    <tableColumn id="13" xr3:uid="{6347E7EB-68EA-4A42-8E34-38C51CD4D297}" name="Column13" dataDxfId="0" dataCellStyle="20% - Accent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F4F8-45F4-45E9-AD02-A3012896488D}">
  <dimension ref="A1:M29"/>
  <sheetViews>
    <sheetView tabSelected="1" workbookViewId="0">
      <selection activeCell="B2" sqref="B2:C2"/>
    </sheetView>
  </sheetViews>
  <sheetFormatPr defaultRowHeight="15" x14ac:dyDescent="0.25"/>
  <cols>
    <col min="1" max="9" width="11" customWidth="1"/>
    <col min="10" max="13" width="12" customWidth="1"/>
  </cols>
  <sheetData>
    <row r="1" spans="1:13" x14ac:dyDescent="0.25">
      <c r="B1" s="12" t="s">
        <v>0</v>
      </c>
      <c r="C1" s="12"/>
      <c r="D1" s="7">
        <v>10</v>
      </c>
      <c r="E1" s="7"/>
      <c r="F1" s="12" t="s">
        <v>3</v>
      </c>
      <c r="G1" s="12"/>
      <c r="H1" s="7">
        <v>2</v>
      </c>
    </row>
    <row r="2" spans="1:13" x14ac:dyDescent="0.25">
      <c r="B2" s="12" t="s">
        <v>1</v>
      </c>
      <c r="C2" s="12"/>
      <c r="D2" s="7">
        <v>5</v>
      </c>
      <c r="E2" s="7"/>
      <c r="F2" s="12" t="s">
        <v>2</v>
      </c>
      <c r="G2" s="12"/>
      <c r="H2" s="7">
        <v>2.5</v>
      </c>
      <c r="L2">
        <f>IF(D6="yes",2.5,0)</f>
        <v>2.5</v>
      </c>
    </row>
    <row r="3" spans="1:13" ht="15.75" thickBot="1" x14ac:dyDescent="0.3"/>
    <row r="4" spans="1:13" ht="16.5" thickTop="1" thickBot="1" x14ac:dyDescent="0.3">
      <c r="A4" s="1" t="s">
        <v>23</v>
      </c>
      <c r="B4" s="2" t="s">
        <v>24</v>
      </c>
      <c r="C4" s="2" t="s">
        <v>25</v>
      </c>
      <c r="D4" s="3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4" t="s">
        <v>31</v>
      </c>
      <c r="J4" s="3" t="s">
        <v>32</v>
      </c>
      <c r="K4" s="3" t="s">
        <v>33</v>
      </c>
      <c r="L4" s="3" t="s">
        <v>34</v>
      </c>
      <c r="M4" s="3" t="s">
        <v>35</v>
      </c>
    </row>
    <row r="5" spans="1:13" ht="16.5" thickTop="1" thickBot="1" x14ac:dyDescent="0.3">
      <c r="A5" s="1" t="s">
        <v>4</v>
      </c>
      <c r="B5" s="2" t="s">
        <v>5</v>
      </c>
      <c r="C5" s="2" t="s">
        <v>6</v>
      </c>
      <c r="D5" s="3" t="s">
        <v>7</v>
      </c>
      <c r="E5" s="2" t="s">
        <v>8</v>
      </c>
      <c r="F5" s="2"/>
      <c r="G5" s="2" t="s">
        <v>9</v>
      </c>
      <c r="H5" s="2"/>
      <c r="I5" s="4" t="s">
        <v>10</v>
      </c>
      <c r="J5" s="3" t="s">
        <v>11</v>
      </c>
      <c r="K5" s="3"/>
      <c r="L5" s="3" t="s">
        <v>12</v>
      </c>
      <c r="M5" s="3"/>
    </row>
    <row r="6" spans="1:13" ht="15.75" thickTop="1" x14ac:dyDescent="0.25">
      <c r="A6" s="5">
        <v>1</v>
      </c>
      <c r="B6" s="5">
        <v>20</v>
      </c>
      <c r="C6" s="5">
        <v>10</v>
      </c>
      <c r="D6" s="5" t="s">
        <v>21</v>
      </c>
      <c r="E6" s="6">
        <v>4</v>
      </c>
      <c r="F6" s="6"/>
      <c r="G6" s="6">
        <v>2</v>
      </c>
      <c r="H6" s="6"/>
      <c r="I6" s="5">
        <f t="shared" ref="I6:I12" si="0">B6*C6</f>
        <v>200</v>
      </c>
      <c r="J6" s="6">
        <f t="shared" ref="J6:J12" si="1">E6*G6</f>
        <v>8</v>
      </c>
      <c r="K6" s="6"/>
      <c r="L6" s="6">
        <f>I6-J6-L2</f>
        <v>189.5</v>
      </c>
      <c r="M6" s="6"/>
    </row>
    <row r="7" spans="1:13" x14ac:dyDescent="0.25">
      <c r="A7" s="5">
        <v>2</v>
      </c>
      <c r="B7" s="5">
        <v>12</v>
      </c>
      <c r="C7" s="5">
        <v>4</v>
      </c>
      <c r="D7" s="5" t="s">
        <v>22</v>
      </c>
      <c r="E7" s="6">
        <v>5</v>
      </c>
      <c r="F7" s="6"/>
      <c r="G7" s="6">
        <v>8</v>
      </c>
      <c r="H7" s="6"/>
      <c r="I7" s="5">
        <f t="shared" si="0"/>
        <v>48</v>
      </c>
      <c r="J7" s="6">
        <f t="shared" si="1"/>
        <v>40</v>
      </c>
      <c r="K7" s="6"/>
      <c r="L7" s="6">
        <f>I7-J7-L2</f>
        <v>5.5</v>
      </c>
      <c r="M7" s="6"/>
    </row>
    <row r="8" spans="1:13" x14ac:dyDescent="0.25">
      <c r="A8" s="5">
        <v>3</v>
      </c>
      <c r="B8" s="5">
        <v>22</v>
      </c>
      <c r="C8" s="5">
        <v>7</v>
      </c>
      <c r="D8" s="5" t="s">
        <v>22</v>
      </c>
      <c r="E8" s="6">
        <v>5</v>
      </c>
      <c r="F8" s="6"/>
      <c r="G8" s="6">
        <v>7</v>
      </c>
      <c r="H8" s="6"/>
      <c r="I8" s="5">
        <f t="shared" si="0"/>
        <v>154</v>
      </c>
      <c r="J8" s="6">
        <f t="shared" si="1"/>
        <v>35</v>
      </c>
      <c r="K8" s="6"/>
      <c r="L8" s="6">
        <f>I8-J8-L2</f>
        <v>116.5</v>
      </c>
      <c r="M8" s="6"/>
    </row>
    <row r="9" spans="1:13" x14ac:dyDescent="0.25">
      <c r="A9" s="5">
        <v>4</v>
      </c>
      <c r="B9" s="5">
        <v>11</v>
      </c>
      <c r="C9" s="5">
        <v>25</v>
      </c>
      <c r="D9" s="5" t="s">
        <v>22</v>
      </c>
      <c r="E9" s="6">
        <v>9</v>
      </c>
      <c r="F9" s="6"/>
      <c r="G9" s="6">
        <v>4</v>
      </c>
      <c r="H9" s="6"/>
      <c r="I9" s="5">
        <f t="shared" si="0"/>
        <v>275</v>
      </c>
      <c r="J9" s="6">
        <f t="shared" si="1"/>
        <v>36</v>
      </c>
      <c r="K9" s="6"/>
      <c r="L9" s="6">
        <f>I9-J9-L2</f>
        <v>236.5</v>
      </c>
      <c r="M9" s="6"/>
    </row>
    <row r="10" spans="1:13" x14ac:dyDescent="0.25">
      <c r="A10" s="5">
        <v>5</v>
      </c>
      <c r="B10" s="5">
        <v>13</v>
      </c>
      <c r="C10" s="5">
        <v>21</v>
      </c>
      <c r="D10" s="5" t="s">
        <v>22</v>
      </c>
      <c r="E10" s="6">
        <v>5</v>
      </c>
      <c r="F10" s="6"/>
      <c r="G10" s="6">
        <v>1</v>
      </c>
      <c r="H10" s="6"/>
      <c r="I10" s="5">
        <f t="shared" si="0"/>
        <v>273</v>
      </c>
      <c r="J10" s="6">
        <f t="shared" si="1"/>
        <v>5</v>
      </c>
      <c r="K10" s="6"/>
      <c r="L10" s="6">
        <f>I10-J10-L2</f>
        <v>265.5</v>
      </c>
      <c r="M10" s="6"/>
    </row>
    <row r="11" spans="1:13" x14ac:dyDescent="0.25">
      <c r="A11" s="5">
        <v>6</v>
      </c>
      <c r="B11" s="5">
        <v>1</v>
      </c>
      <c r="C11" s="5">
        <v>9</v>
      </c>
      <c r="D11" s="5" t="s">
        <v>22</v>
      </c>
      <c r="E11" s="6">
        <v>1</v>
      </c>
      <c r="F11" s="6"/>
      <c r="G11" s="6">
        <v>5</v>
      </c>
      <c r="H11" s="6"/>
      <c r="I11" s="5">
        <f t="shared" si="0"/>
        <v>9</v>
      </c>
      <c r="J11" s="6">
        <f t="shared" si="1"/>
        <v>5</v>
      </c>
      <c r="K11" s="6"/>
      <c r="L11" s="6">
        <f>I11-J11-L2</f>
        <v>1.5</v>
      </c>
      <c r="M11" s="6"/>
    </row>
    <row r="12" spans="1:13" x14ac:dyDescent="0.25">
      <c r="A12" s="5">
        <v>7</v>
      </c>
      <c r="B12" s="5">
        <v>42</v>
      </c>
      <c r="C12" s="5">
        <v>12</v>
      </c>
      <c r="D12" s="5" t="s">
        <v>22</v>
      </c>
      <c r="E12" s="6">
        <v>5</v>
      </c>
      <c r="F12" s="6"/>
      <c r="G12" s="6">
        <v>4</v>
      </c>
      <c r="H12" s="6"/>
      <c r="I12" s="5">
        <f t="shared" si="0"/>
        <v>504</v>
      </c>
      <c r="J12" s="6">
        <f t="shared" si="1"/>
        <v>20</v>
      </c>
      <c r="K12" s="6"/>
      <c r="L12" s="6">
        <f>I12-J12-L2</f>
        <v>481.5</v>
      </c>
      <c r="M12" s="6"/>
    </row>
    <row r="14" spans="1:13" x14ac:dyDescent="0.25">
      <c r="K14" s="11" t="s">
        <v>13</v>
      </c>
      <c r="L14" s="11"/>
      <c r="M14" s="11"/>
    </row>
    <row r="15" spans="1:13" x14ac:dyDescent="0.25">
      <c r="K15" s="9">
        <f>SUM(L6:M12)</f>
        <v>1296.5</v>
      </c>
      <c r="L15" s="9"/>
      <c r="M15" s="9"/>
    </row>
    <row r="16" spans="1:13" x14ac:dyDescent="0.25">
      <c r="K16" s="11" t="s">
        <v>14</v>
      </c>
      <c r="L16" s="11"/>
      <c r="M16" s="11"/>
    </row>
    <row r="17" spans="11:13" x14ac:dyDescent="0.25">
      <c r="K17" s="9">
        <f>K15/5</f>
        <v>259.3</v>
      </c>
      <c r="L17" s="9"/>
      <c r="M17" s="9"/>
    </row>
    <row r="18" spans="11:13" x14ac:dyDescent="0.25">
      <c r="K18" s="11" t="s">
        <v>15</v>
      </c>
      <c r="L18" s="11"/>
      <c r="M18" s="11"/>
    </row>
    <row r="19" spans="11:13" x14ac:dyDescent="0.25">
      <c r="K19" s="10">
        <f>QUOTIENT(K17,5)</f>
        <v>51</v>
      </c>
      <c r="L19" s="10"/>
      <c r="M19" s="10"/>
    </row>
    <row r="20" spans="11:13" x14ac:dyDescent="0.25">
      <c r="K20" s="11" t="s">
        <v>16</v>
      </c>
      <c r="L20" s="11"/>
      <c r="M20" s="11"/>
    </row>
    <row r="21" spans="11:13" x14ac:dyDescent="0.25">
      <c r="K21" s="10">
        <f>QUOTIENT((K17-K19*5),3)</f>
        <v>1</v>
      </c>
      <c r="L21" s="10"/>
      <c r="M21" s="10"/>
    </row>
    <row r="22" spans="11:13" x14ac:dyDescent="0.25">
      <c r="K22" s="11" t="s">
        <v>17</v>
      </c>
      <c r="L22" s="11"/>
      <c r="M22" s="11"/>
    </row>
    <row r="23" spans="11:13" x14ac:dyDescent="0.25">
      <c r="K23" s="9">
        <f>QUOTIENT((K17-K19*5-K21*3),2)</f>
        <v>0</v>
      </c>
      <c r="L23" s="9"/>
      <c r="M23" s="9"/>
    </row>
    <row r="24" spans="11:13" x14ac:dyDescent="0.25">
      <c r="K24" s="11" t="s">
        <v>18</v>
      </c>
      <c r="L24" s="11"/>
      <c r="M24" s="11"/>
    </row>
    <row r="25" spans="11:13" x14ac:dyDescent="0.25">
      <c r="K25" s="9">
        <f>QUOTIENT(ROUNDUP((K17-K19*5-K21*3-K23*2),0),1)</f>
        <v>2</v>
      </c>
      <c r="L25" s="9"/>
      <c r="M25" s="9"/>
    </row>
    <row r="26" spans="11:13" x14ac:dyDescent="0.25">
      <c r="K26" s="11" t="s">
        <v>20</v>
      </c>
      <c r="L26" s="11"/>
      <c r="M26" s="11"/>
    </row>
    <row r="27" spans="11:13" x14ac:dyDescent="0.25">
      <c r="K27" s="8">
        <f>K15*H1</f>
        <v>2593</v>
      </c>
      <c r="L27" s="8"/>
      <c r="M27" s="8"/>
    </row>
    <row r="28" spans="11:13" x14ac:dyDescent="0.25">
      <c r="K28" s="11" t="s">
        <v>19</v>
      </c>
      <c r="L28" s="11"/>
      <c r="M28" s="11"/>
    </row>
    <row r="29" spans="11:13" x14ac:dyDescent="0.25">
      <c r="K29" s="8">
        <f>K15*D2</f>
        <v>6482.5</v>
      </c>
      <c r="L29" s="8"/>
      <c r="M29" s="8"/>
    </row>
  </sheetData>
  <mergeCells count="20">
    <mergeCell ref="B1:C1"/>
    <mergeCell ref="B2:C2"/>
    <mergeCell ref="F1:G1"/>
    <mergeCell ref="F2:G2"/>
    <mergeCell ref="K15:M15"/>
    <mergeCell ref="K17:M17"/>
    <mergeCell ref="K14:M14"/>
    <mergeCell ref="K16:M16"/>
    <mergeCell ref="K18:M18"/>
    <mergeCell ref="K27:M27"/>
    <mergeCell ref="K29:M29"/>
    <mergeCell ref="K23:M23"/>
    <mergeCell ref="K25:M25"/>
    <mergeCell ref="K19:M19"/>
    <mergeCell ref="K21:M21"/>
    <mergeCell ref="K22:M22"/>
    <mergeCell ref="K24:M24"/>
    <mergeCell ref="K26:M26"/>
    <mergeCell ref="K28:M28"/>
    <mergeCell ref="K20:M20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210921</dc:creator>
  <cp:lastModifiedBy>210921</cp:lastModifiedBy>
  <dcterms:created xsi:type="dcterms:W3CDTF">2025-09-16T08:44:50Z</dcterms:created>
  <dcterms:modified xsi:type="dcterms:W3CDTF">2025-09-29T09:10:46Z</dcterms:modified>
</cp:coreProperties>
</file>